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DieseArbeitsmappe" defaultThemeVersion="164011"/>
  <mc:AlternateContent xmlns:mc="http://schemas.openxmlformats.org/markup-compatibility/2006">
    <mc:Choice Requires="x15">
      <x15ac:absPath xmlns:x15ac="http://schemas.microsoft.com/office/spreadsheetml/2010/11/ac" url="\\SOLS_DS\Daten\GitHubRepos\VB\Win_Dialogs\"/>
    </mc:Choice>
  </mc:AlternateContent>
  <bookViews>
    <workbookView xWindow="0" yWindow="0" windowWidth="28170" windowHeight="11475"/>
  </bookViews>
  <sheets>
    <sheet name="Tabelle1" sheetId="1" r:id="rId1"/>
  </sheets>
  <calcPr calcId="162913"/>
  <fileRecoveryPr repairLoad="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58" i="1" l="1"/>
  <c r="H58" i="1"/>
  <c r="I57" i="1"/>
  <c r="H57" i="1"/>
  <c r="G57" i="1"/>
  <c r="F57" i="1"/>
  <c r="E57" i="1"/>
  <c r="C57" i="1"/>
  <c r="I56" i="1"/>
  <c r="H56" i="1"/>
  <c r="G56" i="1"/>
  <c r="F56" i="1"/>
  <c r="E56" i="1"/>
  <c r="C56" i="1"/>
  <c r="I55" i="1"/>
  <c r="H55" i="1"/>
  <c r="G55" i="1"/>
  <c r="F55" i="1"/>
  <c r="E55" i="1"/>
  <c r="C55" i="1"/>
  <c r="I54" i="1"/>
  <c r="H54" i="1"/>
  <c r="G54" i="1"/>
  <c r="F54" i="1"/>
  <c r="E54" i="1"/>
  <c r="C54" i="1"/>
  <c r="I53" i="1"/>
  <c r="H53" i="1"/>
  <c r="G53" i="1"/>
  <c r="F53" i="1"/>
  <c r="E53" i="1"/>
  <c r="C53" i="1"/>
  <c r="I52" i="1"/>
  <c r="H52" i="1"/>
  <c r="G52" i="1"/>
  <c r="F52" i="1"/>
  <c r="E52" i="1"/>
  <c r="C52" i="1"/>
  <c r="I51" i="1"/>
  <c r="H51" i="1"/>
  <c r="G51" i="1"/>
  <c r="F51" i="1"/>
  <c r="E51" i="1"/>
  <c r="C51" i="1"/>
  <c r="I50" i="1"/>
  <c r="H50" i="1"/>
  <c r="G50" i="1"/>
  <c r="F50" i="1"/>
  <c r="E50" i="1"/>
  <c r="C50" i="1"/>
  <c r="I49" i="1"/>
  <c r="H49" i="1"/>
  <c r="G49" i="1"/>
  <c r="F49" i="1"/>
  <c r="E49" i="1"/>
  <c r="C49" i="1"/>
  <c r="I48" i="1"/>
  <c r="H48" i="1"/>
  <c r="G48" i="1"/>
  <c r="F48" i="1"/>
  <c r="E48" i="1"/>
  <c r="C48" i="1"/>
  <c r="I47" i="1"/>
  <c r="H47" i="1"/>
  <c r="G47" i="1"/>
  <c r="F47" i="1"/>
  <c r="E47" i="1"/>
  <c r="C47" i="1"/>
  <c r="I46" i="1"/>
  <c r="H46" i="1"/>
  <c r="G46" i="1"/>
  <c r="F46" i="1"/>
  <c r="C46" i="1"/>
  <c r="I45" i="1"/>
  <c r="H45" i="1"/>
  <c r="G45" i="1"/>
  <c r="F45" i="1"/>
  <c r="E45" i="1"/>
  <c r="C45" i="1"/>
  <c r="I44" i="1"/>
  <c r="H44" i="1"/>
  <c r="G44" i="1"/>
  <c r="F44" i="1"/>
  <c r="E44" i="1"/>
  <c r="C44" i="1"/>
  <c r="I43" i="1"/>
  <c r="H43" i="1"/>
  <c r="G43" i="1"/>
  <c r="F43" i="1"/>
  <c r="E43" i="1"/>
  <c r="C43" i="1"/>
  <c r="I42" i="1"/>
  <c r="H42" i="1"/>
  <c r="G42" i="1"/>
  <c r="F42" i="1"/>
  <c r="E42" i="1"/>
  <c r="C42" i="1"/>
  <c r="I41" i="1"/>
  <c r="H41" i="1"/>
  <c r="G41" i="1"/>
  <c r="F41" i="1"/>
  <c r="E41" i="1"/>
  <c r="C41" i="1"/>
  <c r="I40" i="1"/>
  <c r="H40" i="1"/>
  <c r="G40" i="1"/>
  <c r="F40" i="1"/>
  <c r="E40" i="1"/>
  <c r="C40" i="1"/>
  <c r="I39" i="1"/>
  <c r="H39" i="1"/>
  <c r="G39" i="1"/>
  <c r="F39" i="1"/>
  <c r="E39" i="1"/>
  <c r="C39" i="1"/>
  <c r="I38" i="1"/>
  <c r="H38" i="1"/>
  <c r="G38" i="1"/>
  <c r="F38" i="1"/>
  <c r="E38" i="1"/>
  <c r="C38" i="1"/>
  <c r="I37" i="1"/>
  <c r="H37" i="1"/>
  <c r="G37" i="1"/>
  <c r="F37" i="1"/>
  <c r="E37" i="1"/>
  <c r="C37" i="1"/>
  <c r="I36" i="1"/>
  <c r="H36" i="1"/>
  <c r="G36" i="1"/>
  <c r="F36" i="1"/>
  <c r="E36" i="1"/>
  <c r="C36" i="1"/>
  <c r="I35" i="1"/>
  <c r="H35" i="1"/>
  <c r="G35" i="1"/>
  <c r="F35" i="1"/>
  <c r="E35" i="1"/>
  <c r="C35" i="1"/>
  <c r="I34" i="1"/>
  <c r="H34" i="1"/>
  <c r="G34" i="1"/>
  <c r="F34" i="1"/>
  <c r="E34" i="1"/>
  <c r="C34" i="1"/>
  <c r="I33" i="1"/>
  <c r="H33" i="1"/>
  <c r="G33" i="1"/>
  <c r="F33" i="1"/>
  <c r="E33" i="1"/>
  <c r="C33" i="1"/>
  <c r="I32" i="1"/>
  <c r="H32" i="1"/>
  <c r="G32" i="1"/>
  <c r="F32" i="1"/>
  <c r="E32" i="1"/>
  <c r="C32" i="1"/>
  <c r="I31" i="1"/>
  <c r="H31" i="1"/>
  <c r="G31" i="1"/>
  <c r="F31" i="1"/>
  <c r="E31" i="1"/>
  <c r="C31" i="1"/>
  <c r="I30" i="1"/>
  <c r="H30" i="1"/>
  <c r="G30" i="1"/>
  <c r="F30" i="1"/>
  <c r="E30" i="1"/>
  <c r="C30" i="1"/>
  <c r="I29" i="1"/>
  <c r="H29" i="1"/>
  <c r="G29" i="1"/>
  <c r="F29" i="1"/>
  <c r="E29" i="1"/>
  <c r="C29" i="1"/>
  <c r="I28" i="1"/>
  <c r="H28" i="1"/>
  <c r="G28" i="1"/>
  <c r="F28" i="1"/>
  <c r="E28" i="1"/>
  <c r="C28" i="1"/>
  <c r="I27" i="1"/>
  <c r="H27" i="1"/>
  <c r="G27" i="1"/>
  <c r="F27" i="1"/>
  <c r="E27" i="1"/>
  <c r="C27" i="1"/>
  <c r="I26" i="1"/>
  <c r="H26" i="1"/>
  <c r="G26" i="1"/>
  <c r="F26" i="1"/>
  <c r="E26" i="1"/>
  <c r="C26" i="1"/>
  <c r="I25" i="1"/>
  <c r="H25" i="1"/>
  <c r="G25" i="1"/>
  <c r="F25" i="1"/>
  <c r="E25" i="1"/>
  <c r="C25" i="1"/>
  <c r="K24" i="1"/>
  <c r="I24" i="1"/>
  <c r="H24" i="1"/>
  <c r="G24" i="1"/>
  <c r="F24" i="1"/>
  <c r="E24" i="1"/>
  <c r="C24" i="1"/>
  <c r="I21" i="1"/>
  <c r="H21" i="1"/>
  <c r="I20" i="1"/>
  <c r="H20" i="1"/>
  <c r="G20" i="1"/>
  <c r="F20" i="1"/>
  <c r="E20" i="1"/>
  <c r="C20" i="1"/>
  <c r="I19" i="1"/>
  <c r="H19" i="1"/>
  <c r="G19" i="1"/>
  <c r="F19" i="1"/>
  <c r="E19" i="1"/>
  <c r="C19" i="1"/>
  <c r="I18" i="1"/>
  <c r="H18" i="1"/>
  <c r="G18" i="1"/>
  <c r="F18" i="1"/>
  <c r="E18" i="1"/>
  <c r="C18" i="1"/>
  <c r="I17" i="1"/>
  <c r="H17" i="1"/>
  <c r="G17" i="1"/>
  <c r="F17" i="1"/>
  <c r="E17" i="1"/>
  <c r="C17" i="1"/>
  <c r="I16" i="1"/>
  <c r="H16" i="1"/>
  <c r="G16" i="1"/>
  <c r="F16" i="1"/>
  <c r="E16" i="1"/>
  <c r="C16" i="1"/>
  <c r="I15" i="1"/>
  <c r="H15" i="1"/>
  <c r="G15" i="1"/>
  <c r="F15" i="1"/>
  <c r="E15" i="1"/>
  <c r="C15" i="1"/>
  <c r="I14" i="1"/>
  <c r="H14" i="1"/>
  <c r="G14" i="1"/>
  <c r="F14" i="1"/>
  <c r="E14" i="1"/>
  <c r="C14" i="1"/>
  <c r="I13" i="1"/>
  <c r="H13" i="1"/>
  <c r="G13" i="1"/>
  <c r="F13" i="1"/>
  <c r="E13" i="1"/>
  <c r="C13" i="1"/>
  <c r="I12" i="1"/>
  <c r="H12" i="1"/>
  <c r="G12" i="1"/>
  <c r="F12" i="1"/>
  <c r="E12" i="1"/>
  <c r="C12" i="1"/>
  <c r="I11" i="1"/>
  <c r="H11" i="1"/>
  <c r="G11" i="1"/>
  <c r="F11" i="1"/>
  <c r="E11" i="1"/>
  <c r="C11" i="1"/>
  <c r="I10" i="1"/>
  <c r="H10" i="1"/>
  <c r="G10" i="1"/>
  <c r="F10" i="1"/>
  <c r="E10" i="1"/>
  <c r="C10" i="1"/>
  <c r="I9" i="1"/>
  <c r="H9" i="1"/>
  <c r="G9" i="1"/>
  <c r="F9" i="1"/>
  <c r="E9" i="1"/>
  <c r="C9" i="1"/>
  <c r="I8" i="1"/>
  <c r="H8" i="1"/>
  <c r="G8" i="1"/>
  <c r="F8" i="1"/>
  <c r="E8" i="1"/>
  <c r="C8" i="1"/>
  <c r="I7" i="1"/>
  <c r="H7" i="1"/>
  <c r="G7" i="1"/>
  <c r="F7" i="1"/>
  <c r="E7" i="1"/>
  <c r="C7" i="1"/>
  <c r="I6" i="1"/>
  <c r="H6" i="1"/>
  <c r="G6" i="1"/>
  <c r="F6" i="1"/>
  <c r="E6" i="1"/>
  <c r="C6" i="1"/>
  <c r="I5" i="1"/>
  <c r="H5" i="1"/>
  <c r="G5" i="1"/>
  <c r="F5" i="1"/>
  <c r="E5" i="1"/>
  <c r="C5" i="1"/>
  <c r="I4" i="1"/>
  <c r="H4" i="1"/>
  <c r="G4" i="1"/>
  <c r="F4" i="1"/>
  <c r="E4" i="1"/>
  <c r="C4" i="1"/>
  <c r="I3" i="1"/>
  <c r="H3" i="1"/>
  <c r="G3" i="1"/>
  <c r="F3" i="1"/>
  <c r="E3" i="1"/>
  <c r="C3" i="1"/>
  <c r="I2" i="1"/>
  <c r="H2" i="1"/>
  <c r="G2" i="1"/>
  <c r="F2" i="1"/>
  <c r="E2" i="1"/>
  <c r="C2" i="1"/>
</calcChain>
</file>

<file path=xl/sharedStrings.xml><?xml version="1.0" encoding="utf-8"?>
<sst xmlns="http://schemas.openxmlformats.org/spreadsheetml/2006/main" count="115" uniqueCount="60">
  <si>
    <t>As</t>
  </si>
  <si>
    <t>x86</t>
  </si>
  <si>
    <t>x64</t>
  </si>
  <si>
    <t>lStructSize      As Long</t>
  </si>
  <si>
    <t>hwndOwner        As LongPtr</t>
  </si>
  <si>
    <t>hDevMode         As LongPtr</t>
  </si>
  <si>
    <t>hDevNames        As LongPtr</t>
  </si>
  <si>
    <t>hdc              As LongPtr</t>
  </si>
  <si>
    <t>flags            As Long</t>
  </si>
  <si>
    <t>nFromPage        As Integer</t>
  </si>
  <si>
    <t>nToPage          As Integer</t>
  </si>
  <si>
    <t>nMinPage         As Integer</t>
  </si>
  <si>
    <t>nMaxPage         As Integer</t>
  </si>
  <si>
    <t>nCopies          As Integer</t>
  </si>
  <si>
    <t>hInstance        As LongPtr</t>
  </si>
  <si>
    <t>lCustData        As Long</t>
  </si>
  <si>
    <t>lpfnPrintHook    As LongPtr</t>
  </si>
  <si>
    <t>lpfnSetupHook    As LongPtr</t>
  </si>
  <si>
    <t>lpPrintTemplName As LongPtr</t>
  </si>
  <si>
    <t>lpSetupTemplName As LongPtr</t>
  </si>
  <si>
    <t>hPrintTemplate   As LongPtr</t>
  </si>
  <si>
    <t>hSetupTemplate   As LongPtr</t>
  </si>
  <si>
    <t>TPrintDialog</t>
  </si>
  <si>
    <t>Private Type</t>
  </si>
  <si>
    <t>dmDeviceName     As String * 32</t>
  </si>
  <si>
    <t>dmSpecVersion    As Integer</t>
  </si>
  <si>
    <t>dmDriverVersion  As Integer</t>
  </si>
  <si>
    <t>dmSize           As Integer</t>
  </si>
  <si>
    <t>dmDriverExtra    As Integer</t>
  </si>
  <si>
    <t>dmFields         As Long</t>
  </si>
  <si>
    <t>dmOrientation    As Integer</t>
  </si>
  <si>
    <t>dmPaperSize      As Integer</t>
  </si>
  <si>
    <t>dmPaperLength    As Integer</t>
  </si>
  <si>
    <t>dmPaperWidth     As Integer</t>
  </si>
  <si>
    <t>dmScale          As Integer</t>
  </si>
  <si>
    <t>dmCopies         As Integer</t>
  </si>
  <si>
    <t>dmDefaultSource  As Integer</t>
  </si>
  <si>
    <t>dmPrintQuality   As Integer</t>
  </si>
  <si>
    <t>dmColor          As Integer</t>
  </si>
  <si>
    <t>dmDuplex         As Integer</t>
  </si>
  <si>
    <t>dmYResolution    As Integer</t>
  </si>
  <si>
    <t>dmTTOption       As Integer</t>
  </si>
  <si>
    <t>dmCollate        As Integer</t>
  </si>
  <si>
    <t>dmFormName       As String * 32</t>
  </si>
  <si>
    <t>dmUnusedPadding  As Integer</t>
  </si>
  <si>
    <t>dmBitsPerPixel   As Integer</t>
  </si>
  <si>
    <t>dmPelsWidth      As Long</t>
  </si>
  <si>
    <t>dmPelsHeight     As Long</t>
  </si>
  <si>
    <t>dmDisplayFlags   As Long</t>
  </si>
  <si>
    <t>dmICMMethod      As Long</t>
  </si>
  <si>
    <t>dmICMIntent      As Long</t>
  </si>
  <si>
    <t>dmMediaType      As Long</t>
  </si>
  <si>
    <t>dmDitherType     As Long</t>
  </si>
  <si>
    <t>dmReserved1      As Long</t>
  </si>
  <si>
    <t>dmReserved2      As Long</t>
  </si>
  <si>
    <t>dmPanningWidth   As Long</t>
  </si>
  <si>
    <t>dmPanningHeight  As Long</t>
  </si>
  <si>
    <t>dmDisplayFrequ   As Long</t>
  </si>
  <si>
    <t>Long</t>
  </si>
  <si>
    <t>TDeviceMode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</si>
</sst>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Calibri"/>
      <family val="2"/>
      <scheme val="minor"/>
    </font>
    <font>
      <sz val="10"/>
      <color theme="1"/>
      <name val="Consolas"/>
      <family val="3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1" fillId="0" borderId="0" xfId="0" applyFont="1"/>
    <xf numFmtId="0" fontId="1" fillId="0" borderId="0" xfId="0" applyFont="1" applyAlignment="1">
      <alignment horizontal="center"/>
    </xf>
  </cellXfs>
  <cellStyles count="1"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"/>
  <dimension ref="A1:K61"/>
  <sheetViews>
    <sheetView tabSelected="1" workbookViewId="0">
      <selection activeCell="B23" sqref="B23"/>
    </sheetView>
  </sheetViews>
  <sheetFormatPr baseColWidth="10" defaultRowHeight="15" x14ac:dyDescent="0.25"/>
  <cols>
    <col min="1" max="1" width="13" bestFit="1" customWidth="1"/>
    <col min="2" max="2" width="32.5703125" bestFit="1" customWidth="1"/>
    <col min="3" max="3" width="17.140625" bestFit="1" customWidth="1"/>
    <col min="4" max="4" width="3" bestFit="1" customWidth="1"/>
    <col min="5" max="5" width="8" bestFit="1" customWidth="1"/>
    <col min="6" max="6" width="2.85546875" customWidth="1"/>
    <col min="7" max="7" width="3" bestFit="1" customWidth="1"/>
    <col min="8" max="9" width="7" bestFit="1" customWidth="1"/>
    <col min="10" max="10" width="3.140625" bestFit="1" customWidth="1"/>
  </cols>
  <sheetData>
    <row r="1" spans="1:9" x14ac:dyDescent="0.25">
      <c r="A1" s="1" t="s">
        <v>23</v>
      </c>
      <c r="B1" s="1" t="s">
        <v>22</v>
      </c>
      <c r="C1" s="1"/>
      <c r="D1" s="1"/>
      <c r="E1" s="1"/>
      <c r="F1" s="1"/>
      <c r="G1" s="1"/>
      <c r="H1" s="2" t="s">
        <v>1</v>
      </c>
      <c r="I1" s="2" t="s">
        <v>2</v>
      </c>
    </row>
    <row r="2" spans="1:9" x14ac:dyDescent="0.25">
      <c r="A2" s="1"/>
      <c r="B2" s="1" t="s">
        <v>3</v>
      </c>
      <c r="C2" s="1" t="str">
        <f>LEFT(B2, FIND(" ", B2)-1)</f>
        <v>lStructSize</v>
      </c>
      <c r="D2" s="1" t="s">
        <v>0</v>
      </c>
      <c r="E2" s="1" t="str">
        <f>TRIM(MID(B2, 21, 7))</f>
        <v>Long</v>
      </c>
      <c r="F2" s="2" t="str">
        <f>IF(ISERROR(FIND("*", B2)),"", "*")</f>
        <v/>
      </c>
      <c r="G2" s="2" t="str">
        <f>IF(F2="*", VALUE(TRIM(MID(B2,FIND("*",B2)+1,4))), "")</f>
        <v/>
      </c>
      <c r="H2" s="2">
        <f>IF(E2="Integer",2,IF(E2="Long",4,IF(OR(E2="LongPtr",E2="Object"),IF(H$1="x64",8,4),IF(E2="String", IF(F2="*", G2*IF(E$1="Unicode",2,1), IF(H$1="x64",8,4))))))</f>
        <v>4</v>
      </c>
      <c r="I2" s="2">
        <f>IF(E2="Integer",2,IF(E2="Long",4,IF(OR(E2="LongPtr",E2="Object"),IF(I$1="x64",8,4),IF(E2="String", IF(F2="*", G2*IF(E$1="Unicode",2,1), IF(I$1="x64",8,4))))))</f>
        <v>4</v>
      </c>
    </row>
    <row r="3" spans="1:9" x14ac:dyDescent="0.25">
      <c r="A3" s="1"/>
      <c r="B3" s="1" t="s">
        <v>4</v>
      </c>
      <c r="C3" s="1" t="str">
        <f t="shared" ref="C3:C20" si="0">LEFT(B3, FIND(" ", B3)-1)</f>
        <v>hwndOwner</v>
      </c>
      <c r="D3" s="1" t="s">
        <v>0</v>
      </c>
      <c r="E3" s="1" t="str">
        <f t="shared" ref="E3:E20" si="1">TRIM(MID(B3, 21, 7))</f>
        <v>LongPtr</v>
      </c>
      <c r="F3" s="2" t="str">
        <f t="shared" ref="F3:F20" si="2">IF(ISERROR(FIND("*", B3)),"", "*")</f>
        <v/>
      </c>
      <c r="G3" s="2" t="str">
        <f t="shared" ref="G3:G20" si="3">IF(F3="*", VALUE(TRIM(MID(B3,FIND("*",B3)+1,4))), "")</f>
        <v/>
      </c>
      <c r="H3" s="2">
        <f t="shared" ref="H3:H20" si="4">IF(E3="Integer",2,IF(E3="Long",4,IF(OR(E3="LongPtr",E3="Object"),IF(H$1="x64",8,4),IF(E3="String", IF(F3="*", G3*IF(E$1="Unicode",2,1), IF(H$1="x64",8,4))))))</f>
        <v>4</v>
      </c>
      <c r="I3" s="2">
        <f t="shared" ref="I3:I20" si="5">IF(E3="Integer",2,IF(E3="Long",4,IF(OR(E3="LongPtr",E3="Object"),IF(I$1="x64",8,4),IF(E3="String", IF(F3="*", G3*IF(E$1="Unicode",2,1), IF(I$1="x64",8,4))))))</f>
        <v>8</v>
      </c>
    </row>
    <row r="4" spans="1:9" x14ac:dyDescent="0.25">
      <c r="A4" s="1"/>
      <c r="B4" s="1" t="s">
        <v>5</v>
      </c>
      <c r="C4" s="1" t="str">
        <f t="shared" si="0"/>
        <v>hDevMode</v>
      </c>
      <c r="D4" s="1" t="s">
        <v>0</v>
      </c>
      <c r="E4" s="1" t="str">
        <f t="shared" si="1"/>
        <v>LongPtr</v>
      </c>
      <c r="F4" s="2" t="str">
        <f t="shared" si="2"/>
        <v/>
      </c>
      <c r="G4" s="2" t="str">
        <f t="shared" si="3"/>
        <v/>
      </c>
      <c r="H4" s="2">
        <f t="shared" si="4"/>
        <v>4</v>
      </c>
      <c r="I4" s="2">
        <f t="shared" si="5"/>
        <v>8</v>
      </c>
    </row>
    <row r="5" spans="1:9" x14ac:dyDescent="0.25">
      <c r="A5" s="1"/>
      <c r="B5" s="1" t="s">
        <v>6</v>
      </c>
      <c r="C5" s="1" t="str">
        <f t="shared" si="0"/>
        <v>hDevNames</v>
      </c>
      <c r="D5" s="1" t="s">
        <v>0</v>
      </c>
      <c r="E5" s="1" t="str">
        <f t="shared" si="1"/>
        <v>LongPtr</v>
      </c>
      <c r="F5" s="2" t="str">
        <f t="shared" si="2"/>
        <v/>
      </c>
      <c r="G5" s="2" t="str">
        <f t="shared" si="3"/>
        <v/>
      </c>
      <c r="H5" s="2">
        <f t="shared" si="4"/>
        <v>4</v>
      </c>
      <c r="I5" s="2">
        <f t="shared" si="5"/>
        <v>8</v>
      </c>
    </row>
    <row r="6" spans="1:9" x14ac:dyDescent="0.25">
      <c r="A6" s="1"/>
      <c r="B6" s="1" t="s">
        <v>7</v>
      </c>
      <c r="C6" s="1" t="str">
        <f t="shared" si="0"/>
        <v>hdc</v>
      </c>
      <c r="D6" s="1" t="s">
        <v>0</v>
      </c>
      <c r="E6" s="1" t="str">
        <f t="shared" si="1"/>
        <v>LongPtr</v>
      </c>
      <c r="F6" s="2" t="str">
        <f t="shared" si="2"/>
        <v/>
      </c>
      <c r="G6" s="2" t="str">
        <f t="shared" si="3"/>
        <v/>
      </c>
      <c r="H6" s="2">
        <f t="shared" si="4"/>
        <v>4</v>
      </c>
      <c r="I6" s="2">
        <f t="shared" si="5"/>
        <v>8</v>
      </c>
    </row>
    <row r="7" spans="1:9" x14ac:dyDescent="0.25">
      <c r="A7" s="1"/>
      <c r="B7" s="1" t="s">
        <v>8</v>
      </c>
      <c r="C7" s="1" t="str">
        <f t="shared" si="0"/>
        <v>flags</v>
      </c>
      <c r="D7" s="1" t="s">
        <v>0</v>
      </c>
      <c r="E7" s="1" t="str">
        <f t="shared" si="1"/>
        <v>Long</v>
      </c>
      <c r="F7" s="2" t="str">
        <f t="shared" si="2"/>
        <v/>
      </c>
      <c r="G7" s="2" t="str">
        <f t="shared" si="3"/>
        <v/>
      </c>
      <c r="H7" s="2">
        <f t="shared" si="4"/>
        <v>4</v>
      </c>
      <c r="I7" s="2">
        <f t="shared" si="5"/>
        <v>4</v>
      </c>
    </row>
    <row r="8" spans="1:9" x14ac:dyDescent="0.25">
      <c r="A8" s="1"/>
      <c r="B8" s="1" t="s">
        <v>9</v>
      </c>
      <c r="C8" s="1" t="str">
        <f t="shared" si="0"/>
        <v>nFromPage</v>
      </c>
      <c r="D8" s="1" t="s">
        <v>0</v>
      </c>
      <c r="E8" s="1" t="str">
        <f t="shared" si="1"/>
        <v>Integer</v>
      </c>
      <c r="F8" s="2" t="str">
        <f t="shared" si="2"/>
        <v/>
      </c>
      <c r="G8" s="2" t="str">
        <f t="shared" si="3"/>
        <v/>
      </c>
      <c r="H8" s="2">
        <f t="shared" si="4"/>
        <v>2</v>
      </c>
      <c r="I8" s="2">
        <f t="shared" si="5"/>
        <v>2</v>
      </c>
    </row>
    <row r="9" spans="1:9" x14ac:dyDescent="0.25">
      <c r="A9" s="1"/>
      <c r="B9" s="1" t="s">
        <v>10</v>
      </c>
      <c r="C9" s="1" t="str">
        <f t="shared" si="0"/>
        <v>nToPage</v>
      </c>
      <c r="D9" s="1" t="s">
        <v>0</v>
      </c>
      <c r="E9" s="1" t="str">
        <f t="shared" si="1"/>
        <v>Integer</v>
      </c>
      <c r="F9" s="2" t="str">
        <f t="shared" si="2"/>
        <v/>
      </c>
      <c r="G9" s="2" t="str">
        <f t="shared" si="3"/>
        <v/>
      </c>
      <c r="H9" s="2">
        <f t="shared" si="4"/>
        <v>2</v>
      </c>
      <c r="I9" s="2">
        <f t="shared" si="5"/>
        <v>2</v>
      </c>
    </row>
    <row r="10" spans="1:9" x14ac:dyDescent="0.25">
      <c r="A10" s="1"/>
      <c r="B10" s="1" t="s">
        <v>11</v>
      </c>
      <c r="C10" s="1" t="str">
        <f t="shared" si="0"/>
        <v>nMinPage</v>
      </c>
      <c r="D10" s="1" t="s">
        <v>0</v>
      </c>
      <c r="E10" s="1" t="str">
        <f t="shared" si="1"/>
        <v>Integer</v>
      </c>
      <c r="F10" s="2" t="str">
        <f t="shared" si="2"/>
        <v/>
      </c>
      <c r="G10" s="2" t="str">
        <f t="shared" si="3"/>
        <v/>
      </c>
      <c r="H10" s="2">
        <f t="shared" si="4"/>
        <v>2</v>
      </c>
      <c r="I10" s="2">
        <f t="shared" si="5"/>
        <v>2</v>
      </c>
    </row>
    <row r="11" spans="1:9" x14ac:dyDescent="0.25">
      <c r="A11" s="1"/>
      <c r="B11" s="1" t="s">
        <v>12</v>
      </c>
      <c r="C11" s="1" t="str">
        <f t="shared" si="0"/>
        <v>nMaxPage</v>
      </c>
      <c r="D11" s="1" t="s">
        <v>0</v>
      </c>
      <c r="E11" s="1" t="str">
        <f t="shared" si="1"/>
        <v>Integer</v>
      </c>
      <c r="F11" s="2" t="str">
        <f t="shared" si="2"/>
        <v/>
      </c>
      <c r="G11" s="2" t="str">
        <f t="shared" si="3"/>
        <v/>
      </c>
      <c r="H11" s="2">
        <f t="shared" si="4"/>
        <v>2</v>
      </c>
      <c r="I11" s="2">
        <f t="shared" si="5"/>
        <v>2</v>
      </c>
    </row>
    <row r="12" spans="1:9" x14ac:dyDescent="0.25">
      <c r="A12" s="1"/>
      <c r="B12" s="1" t="s">
        <v>13</v>
      </c>
      <c r="C12" s="1" t="str">
        <f t="shared" si="0"/>
        <v>nCopies</v>
      </c>
      <c r="D12" s="1" t="s">
        <v>0</v>
      </c>
      <c r="E12" s="1" t="str">
        <f t="shared" si="1"/>
        <v>Integer</v>
      </c>
      <c r="F12" s="2" t="str">
        <f t="shared" si="2"/>
        <v/>
      </c>
      <c r="G12" s="2" t="str">
        <f t="shared" si="3"/>
        <v/>
      </c>
      <c r="H12" s="2">
        <f t="shared" si="4"/>
        <v>2</v>
      </c>
      <c r="I12" s="2">
        <f t="shared" si="5"/>
        <v>2</v>
      </c>
    </row>
    <row r="13" spans="1:9" x14ac:dyDescent="0.25">
      <c r="A13" s="1"/>
      <c r="B13" s="1" t="s">
        <v>14</v>
      </c>
      <c r="C13" s="1" t="str">
        <f t="shared" si="0"/>
        <v>hInstance</v>
      </c>
      <c r="D13" s="1" t="s">
        <v>0</v>
      </c>
      <c r="E13" s="1" t="str">
        <f t="shared" si="1"/>
        <v>LongPtr</v>
      </c>
      <c r="F13" s="2" t="str">
        <f t="shared" si="2"/>
        <v/>
      </c>
      <c r="G13" s="2" t="str">
        <f t="shared" si="3"/>
        <v/>
      </c>
      <c r="H13" s="2">
        <f t="shared" si="4"/>
        <v>4</v>
      </c>
      <c r="I13" s="2">
        <f t="shared" si="5"/>
        <v>8</v>
      </c>
    </row>
    <row r="14" spans="1:9" x14ac:dyDescent="0.25">
      <c r="A14" s="1"/>
      <c r="B14" s="1" t="s">
        <v>15</v>
      </c>
      <c r="C14" s="1" t="str">
        <f t="shared" si="0"/>
        <v>lCustData</v>
      </c>
      <c r="D14" s="1" t="s">
        <v>0</v>
      </c>
      <c r="E14" s="1" t="str">
        <f t="shared" si="1"/>
        <v>Long</v>
      </c>
      <c r="F14" s="2" t="str">
        <f t="shared" si="2"/>
        <v/>
      </c>
      <c r="G14" s="2" t="str">
        <f t="shared" si="3"/>
        <v/>
      </c>
      <c r="H14" s="2">
        <f t="shared" si="4"/>
        <v>4</v>
      </c>
      <c r="I14" s="2">
        <f t="shared" si="5"/>
        <v>4</v>
      </c>
    </row>
    <row r="15" spans="1:9" x14ac:dyDescent="0.25">
      <c r="A15" s="1"/>
      <c r="B15" s="1" t="s">
        <v>16</v>
      </c>
      <c r="C15" s="1" t="str">
        <f t="shared" si="0"/>
        <v>lpfnPrintHook</v>
      </c>
      <c r="D15" s="1" t="s">
        <v>0</v>
      </c>
      <c r="E15" s="1" t="str">
        <f t="shared" si="1"/>
        <v>LongPtr</v>
      </c>
      <c r="F15" s="2" t="str">
        <f t="shared" si="2"/>
        <v/>
      </c>
      <c r="G15" s="2" t="str">
        <f t="shared" si="3"/>
        <v/>
      </c>
      <c r="H15" s="2">
        <f t="shared" si="4"/>
        <v>4</v>
      </c>
      <c r="I15" s="2">
        <f t="shared" si="5"/>
        <v>8</v>
      </c>
    </row>
    <row r="16" spans="1:9" x14ac:dyDescent="0.25">
      <c r="A16" s="1"/>
      <c r="B16" s="1" t="s">
        <v>17</v>
      </c>
      <c r="C16" s="1" t="str">
        <f t="shared" si="0"/>
        <v>lpfnSetupHook</v>
      </c>
      <c r="D16" s="1" t="s">
        <v>0</v>
      </c>
      <c r="E16" s="1" t="str">
        <f t="shared" si="1"/>
        <v>LongPtr</v>
      </c>
      <c r="F16" s="2" t="str">
        <f t="shared" si="2"/>
        <v/>
      </c>
      <c r="G16" s="2" t="str">
        <f t="shared" si="3"/>
        <v/>
      </c>
      <c r="H16" s="2">
        <f t="shared" si="4"/>
        <v>4</v>
      </c>
      <c r="I16" s="2">
        <f t="shared" si="5"/>
        <v>8</v>
      </c>
    </row>
    <row r="17" spans="1:11" x14ac:dyDescent="0.25">
      <c r="A17" s="1"/>
      <c r="B17" s="1" t="s">
        <v>18</v>
      </c>
      <c r="C17" s="1" t="str">
        <f t="shared" si="0"/>
        <v>lpPrintTemplName</v>
      </c>
      <c r="D17" s="1" t="s">
        <v>0</v>
      </c>
      <c r="E17" s="1" t="str">
        <f t="shared" si="1"/>
        <v>LongPtr</v>
      </c>
      <c r="F17" s="2" t="str">
        <f t="shared" si="2"/>
        <v/>
      </c>
      <c r="G17" s="2" t="str">
        <f t="shared" si="3"/>
        <v/>
      </c>
      <c r="H17" s="2">
        <f t="shared" si="4"/>
        <v>4</v>
      </c>
      <c r="I17" s="2">
        <f t="shared" si="5"/>
        <v>8</v>
      </c>
    </row>
    <row r="18" spans="1:11" x14ac:dyDescent="0.25">
      <c r="A18" s="1"/>
      <c r="B18" s="1" t="s">
        <v>19</v>
      </c>
      <c r="C18" s="1" t="str">
        <f t="shared" si="0"/>
        <v>lpSetupTemplName</v>
      </c>
      <c r="D18" s="1" t="s">
        <v>0</v>
      </c>
      <c r="E18" s="1" t="str">
        <f t="shared" si="1"/>
        <v>LongPtr</v>
      </c>
      <c r="F18" s="2" t="str">
        <f t="shared" si="2"/>
        <v/>
      </c>
      <c r="G18" s="2" t="str">
        <f t="shared" si="3"/>
        <v/>
      </c>
      <c r="H18" s="2">
        <f t="shared" si="4"/>
        <v>4</v>
      </c>
      <c r="I18" s="2">
        <f t="shared" si="5"/>
        <v>8</v>
      </c>
    </row>
    <row r="19" spans="1:11" x14ac:dyDescent="0.25">
      <c r="A19" s="1"/>
      <c r="B19" s="1" t="s">
        <v>20</v>
      </c>
      <c r="C19" s="1" t="str">
        <f t="shared" si="0"/>
        <v>hPrintTemplate</v>
      </c>
      <c r="D19" s="1" t="s">
        <v>0</v>
      </c>
      <c r="E19" s="1" t="str">
        <f t="shared" si="1"/>
        <v>LongPtr</v>
      </c>
      <c r="F19" s="2" t="str">
        <f t="shared" si="2"/>
        <v/>
      </c>
      <c r="G19" s="2" t="str">
        <f t="shared" si="3"/>
        <v/>
      </c>
      <c r="H19" s="2">
        <f t="shared" si="4"/>
        <v>4</v>
      </c>
      <c r="I19" s="2">
        <f t="shared" si="5"/>
        <v>8</v>
      </c>
    </row>
    <row r="20" spans="1:11" x14ac:dyDescent="0.25">
      <c r="A20" s="1"/>
      <c r="B20" s="1" t="s">
        <v>21</v>
      </c>
      <c r="C20" s="1" t="str">
        <f t="shared" si="0"/>
        <v>hSetupTemplate</v>
      </c>
      <c r="D20" s="1" t="s">
        <v>0</v>
      </c>
      <c r="E20" s="1" t="str">
        <f t="shared" si="1"/>
        <v>LongPtr</v>
      </c>
      <c r="F20" s="2" t="str">
        <f t="shared" si="2"/>
        <v/>
      </c>
      <c r="G20" s="2" t="str">
        <f t="shared" si="3"/>
        <v/>
      </c>
      <c r="H20" s="2">
        <f t="shared" si="4"/>
        <v>4</v>
      </c>
      <c r="I20" s="2">
        <f t="shared" si="5"/>
        <v>8</v>
      </c>
    </row>
    <row r="21" spans="1:11" x14ac:dyDescent="0.25">
      <c r="A21" s="1"/>
      <c r="B21" s="1"/>
      <c r="C21" s="1"/>
      <c r="D21" s="1"/>
      <c r="E21" s="1"/>
      <c r="F21" s="1"/>
      <c r="G21" s="1"/>
      <c r="H21" s="1">
        <f>SUM(H2:H20)</f>
        <v>66</v>
      </c>
      <c r="I21" s="1">
        <f>SUM(I2:I20)</f>
        <v>110</v>
      </c>
    </row>
    <row r="22" spans="1:11" x14ac:dyDescent="0.25">
      <c r="A22" s="1"/>
      <c r="B22" s="1"/>
      <c r="C22" s="1"/>
      <c r="D22" s="1"/>
      <c r="E22" s="1"/>
      <c r="F22" s="1"/>
      <c r="G22" s="1"/>
      <c r="H22" s="1"/>
      <c r="I22" s="1"/>
    </row>
    <row r="23" spans="1:11" x14ac:dyDescent="0.25">
      <c r="A23" s="1" t="s">
        <v>23</v>
      </c>
      <c r="B23" s="1" t="s">
        <v>59</v>
      </c>
      <c r="C23" s="1"/>
      <c r="D23" s="1"/>
      <c r="E23" s="1"/>
      <c r="F23" s="1"/>
      <c r="G23" s="1"/>
      <c r="H23" s="2" t="s">
        <v>1</v>
      </c>
      <c r="I23" s="2" t="s">
        <v>2</v>
      </c>
    </row>
    <row r="24" spans="1:11" x14ac:dyDescent="0.25">
      <c r="A24" s="1"/>
      <c r="B24" s="1" t="s">
        <v>24</v>
      </c>
      <c r="C24" s="1" t="str">
        <f>LEFT(B24, FIND(" ", B24)-1)</f>
        <v>dmDeviceName</v>
      </c>
      <c r="D24" s="1" t="s">
        <v>0</v>
      </c>
      <c r="E24" s="1" t="str">
        <f>TRIM(MID(B24, 21, 7))</f>
        <v>String</v>
      </c>
      <c r="F24" s="2" t="str">
        <f>IF(ISERROR(FIND("*", B24)),"", "*")</f>
        <v>*</v>
      </c>
      <c r="G24" s="2">
        <f>IF(F24="*", VALUE(TRIM(MID(B24,FIND("*",B24)+1,4))), "")</f>
        <v>32</v>
      </c>
      <c r="H24" s="2">
        <f t="shared" ref="H24:H57" si="6">IF(E24="Integer",2,IF(E24="Long",4,IF(OR(E24="LongPtr",E24="Object"),IF(H$23="x64",8,4),IF(E24="String", IF(F24="*", G24*IF(E$23="Unicode",2,1), IF(H$23="x64",8,4))))))</f>
        <v>32</v>
      </c>
      <c r="I24" s="2">
        <f t="shared" ref="I24:I46" si="7">IF(E24="Integer",2,IF(E24="Long",4,IF(OR(E24="LongPtr",E24="Object"),IF(I$23="x64",8,4),IF(E24="String", IF(F24="*", G24*IF(E$23="Unicode",2,1), IF(I$23="x64",8,4))))))</f>
        <v>32</v>
      </c>
      <c r="K24" t="str">
        <f>"    " &amp; C24</f>
        <v xml:space="preserve">    dmDeviceName</v>
      </c>
    </row>
    <row r="25" spans="1:11" x14ac:dyDescent="0.25">
      <c r="A25" s="1"/>
      <c r="B25" s="1" t="s">
        <v>25</v>
      </c>
      <c r="C25" s="1" t="str">
        <f t="shared" ref="C25:C57" si="8">LEFT(B25, FIND(" ", B25)-1)</f>
        <v>dmSpecVersion</v>
      </c>
      <c r="D25" s="1" t="s">
        <v>0</v>
      </c>
      <c r="E25" s="1" t="str">
        <f t="shared" ref="E25:E57" si="9">TRIM(MID(B25, 21, 7))</f>
        <v>Integer</v>
      </c>
      <c r="F25" s="2" t="str">
        <f t="shared" ref="F25:F57" si="10">IF(ISERROR(FIND("*", B25)),"", "*")</f>
        <v/>
      </c>
      <c r="G25" s="2" t="str">
        <f t="shared" ref="G25:G57" si="11">IF(F25="*", VALUE(TRIM(MID(B25,FIND("*",B25)+1,4))), "")</f>
        <v/>
      </c>
      <c r="H25" s="2">
        <f t="shared" si="6"/>
        <v>2</v>
      </c>
      <c r="I25" s="2">
        <f t="shared" si="7"/>
        <v>2</v>
      </c>
    </row>
    <row r="26" spans="1:11" x14ac:dyDescent="0.25">
      <c r="A26" s="1"/>
      <c r="B26" s="1" t="s">
        <v>26</v>
      </c>
      <c r="C26" s="1" t="str">
        <f t="shared" si="8"/>
        <v>dmDriverVersion</v>
      </c>
      <c r="D26" s="1" t="s">
        <v>0</v>
      </c>
      <c r="E26" s="1" t="str">
        <f t="shared" si="9"/>
        <v>Integer</v>
      </c>
      <c r="F26" s="2" t="str">
        <f t="shared" si="10"/>
        <v/>
      </c>
      <c r="G26" s="2" t="str">
        <f t="shared" si="11"/>
        <v/>
      </c>
      <c r="H26" s="2">
        <f t="shared" si="6"/>
        <v>2</v>
      </c>
      <c r="I26" s="2">
        <f t="shared" si="7"/>
        <v>2</v>
      </c>
    </row>
    <row r="27" spans="1:11" x14ac:dyDescent="0.25">
      <c r="A27" s="1"/>
      <c r="B27" s="1" t="s">
        <v>27</v>
      </c>
      <c r="C27" s="1" t="str">
        <f t="shared" si="8"/>
        <v>dmSize</v>
      </c>
      <c r="D27" s="1" t="s">
        <v>0</v>
      </c>
      <c r="E27" s="1" t="str">
        <f t="shared" si="9"/>
        <v>Integer</v>
      </c>
      <c r="F27" s="2" t="str">
        <f t="shared" si="10"/>
        <v/>
      </c>
      <c r="G27" s="2" t="str">
        <f t="shared" si="11"/>
        <v/>
      </c>
      <c r="H27" s="2">
        <f t="shared" si="6"/>
        <v>2</v>
      </c>
      <c r="I27" s="2">
        <f t="shared" si="7"/>
        <v>2</v>
      </c>
    </row>
    <row r="28" spans="1:11" x14ac:dyDescent="0.25">
      <c r="A28" s="1"/>
      <c r="B28" s="1" t="s">
        <v>28</v>
      </c>
      <c r="C28" s="1" t="str">
        <f t="shared" si="8"/>
        <v>dmDriverExtra</v>
      </c>
      <c r="D28" s="1" t="s">
        <v>0</v>
      </c>
      <c r="E28" s="1" t="str">
        <f t="shared" si="9"/>
        <v>Integer</v>
      </c>
      <c r="F28" s="2" t="str">
        <f t="shared" si="10"/>
        <v/>
      </c>
      <c r="G28" s="2" t="str">
        <f t="shared" si="11"/>
        <v/>
      </c>
      <c r="H28" s="2">
        <f t="shared" si="6"/>
        <v>2</v>
      </c>
      <c r="I28" s="2">
        <f t="shared" si="7"/>
        <v>2</v>
      </c>
    </row>
    <row r="29" spans="1:11" x14ac:dyDescent="0.25">
      <c r="A29" s="1"/>
      <c r="B29" s="1" t="s">
        <v>29</v>
      </c>
      <c r="C29" s="1" t="str">
        <f t="shared" si="8"/>
        <v>dmFields</v>
      </c>
      <c r="D29" s="1" t="s">
        <v>0</v>
      </c>
      <c r="E29" s="1" t="str">
        <f t="shared" si="9"/>
        <v>Long</v>
      </c>
      <c r="F29" s="2" t="str">
        <f t="shared" si="10"/>
        <v/>
      </c>
      <c r="G29" s="2" t="str">
        <f t="shared" si="11"/>
        <v/>
      </c>
      <c r="H29" s="2">
        <f t="shared" si="6"/>
        <v>4</v>
      </c>
      <c r="I29" s="2">
        <f t="shared" si="7"/>
        <v>4</v>
      </c>
    </row>
    <row r="30" spans="1:11" x14ac:dyDescent="0.25">
      <c r="A30" s="1"/>
      <c r="B30" s="1" t="s">
        <v>30</v>
      </c>
      <c r="C30" s="1" t="str">
        <f t="shared" si="8"/>
        <v>dmOrientation</v>
      </c>
      <c r="D30" s="1" t="s">
        <v>0</v>
      </c>
      <c r="E30" s="1" t="str">
        <f t="shared" si="9"/>
        <v>Integer</v>
      </c>
      <c r="F30" s="2" t="str">
        <f t="shared" si="10"/>
        <v/>
      </c>
      <c r="G30" s="2" t="str">
        <f t="shared" si="11"/>
        <v/>
      </c>
      <c r="H30" s="2">
        <f t="shared" si="6"/>
        <v>2</v>
      </c>
      <c r="I30" s="2">
        <f t="shared" si="7"/>
        <v>2</v>
      </c>
    </row>
    <row r="31" spans="1:11" x14ac:dyDescent="0.25">
      <c r="A31" s="1"/>
      <c r="B31" s="1" t="s">
        <v>31</v>
      </c>
      <c r="C31" s="1" t="str">
        <f t="shared" si="8"/>
        <v>dmPaperSize</v>
      </c>
      <c r="D31" s="1" t="s">
        <v>0</v>
      </c>
      <c r="E31" s="1" t="str">
        <f t="shared" si="9"/>
        <v>Integer</v>
      </c>
      <c r="F31" s="2" t="str">
        <f t="shared" si="10"/>
        <v/>
      </c>
      <c r="G31" s="2" t="str">
        <f t="shared" si="11"/>
        <v/>
      </c>
      <c r="H31" s="2">
        <f t="shared" si="6"/>
        <v>2</v>
      </c>
      <c r="I31" s="2">
        <f t="shared" si="7"/>
        <v>2</v>
      </c>
    </row>
    <row r="32" spans="1:11" x14ac:dyDescent="0.25">
      <c r="A32" s="1"/>
      <c r="B32" s="1" t="s">
        <v>32</v>
      </c>
      <c r="C32" s="1" t="str">
        <f t="shared" si="8"/>
        <v>dmPaperLength</v>
      </c>
      <c r="D32" s="1" t="s">
        <v>0</v>
      </c>
      <c r="E32" s="1" t="str">
        <f t="shared" si="9"/>
        <v>Integer</v>
      </c>
      <c r="F32" s="2" t="str">
        <f t="shared" si="10"/>
        <v/>
      </c>
      <c r="G32" s="2" t="str">
        <f t="shared" si="11"/>
        <v/>
      </c>
      <c r="H32" s="2">
        <f t="shared" si="6"/>
        <v>2</v>
      </c>
      <c r="I32" s="2">
        <f t="shared" si="7"/>
        <v>2</v>
      </c>
    </row>
    <row r="33" spans="1:9" x14ac:dyDescent="0.25">
      <c r="A33" s="1"/>
      <c r="B33" s="1" t="s">
        <v>33</v>
      </c>
      <c r="C33" s="1" t="str">
        <f t="shared" si="8"/>
        <v>dmPaperWidth</v>
      </c>
      <c r="D33" s="1" t="s">
        <v>0</v>
      </c>
      <c r="E33" s="1" t="str">
        <f t="shared" si="9"/>
        <v>Integer</v>
      </c>
      <c r="F33" s="2" t="str">
        <f t="shared" si="10"/>
        <v/>
      </c>
      <c r="G33" s="2" t="str">
        <f t="shared" si="11"/>
        <v/>
      </c>
      <c r="H33" s="2">
        <f t="shared" si="6"/>
        <v>2</v>
      </c>
      <c r="I33" s="2">
        <f t="shared" si="7"/>
        <v>2</v>
      </c>
    </row>
    <row r="34" spans="1:9" x14ac:dyDescent="0.25">
      <c r="A34" s="1"/>
      <c r="B34" s="1" t="s">
        <v>34</v>
      </c>
      <c r="C34" s="1" t="str">
        <f t="shared" si="8"/>
        <v>dmScale</v>
      </c>
      <c r="D34" s="1" t="s">
        <v>0</v>
      </c>
      <c r="E34" s="1" t="str">
        <f t="shared" si="9"/>
        <v>Integer</v>
      </c>
      <c r="F34" s="2" t="str">
        <f t="shared" si="10"/>
        <v/>
      </c>
      <c r="G34" s="2" t="str">
        <f t="shared" si="11"/>
        <v/>
      </c>
      <c r="H34" s="2">
        <f t="shared" si="6"/>
        <v>2</v>
      </c>
      <c r="I34" s="2">
        <f t="shared" si="7"/>
        <v>2</v>
      </c>
    </row>
    <row r="35" spans="1:9" x14ac:dyDescent="0.25">
      <c r="A35" s="1"/>
      <c r="B35" s="1" t="s">
        <v>35</v>
      </c>
      <c r="C35" s="1" t="str">
        <f t="shared" si="8"/>
        <v>dmCopies</v>
      </c>
      <c r="D35" s="1" t="s">
        <v>0</v>
      </c>
      <c r="E35" s="1" t="str">
        <f t="shared" si="9"/>
        <v>Integer</v>
      </c>
      <c r="F35" s="2" t="str">
        <f t="shared" si="10"/>
        <v/>
      </c>
      <c r="G35" s="2" t="str">
        <f t="shared" si="11"/>
        <v/>
      </c>
      <c r="H35" s="2">
        <f t="shared" si="6"/>
        <v>2</v>
      </c>
      <c r="I35" s="2">
        <f t="shared" si="7"/>
        <v>2</v>
      </c>
    </row>
    <row r="36" spans="1:9" x14ac:dyDescent="0.25">
      <c r="A36" s="1"/>
      <c r="B36" s="1" t="s">
        <v>36</v>
      </c>
      <c r="C36" s="1" t="str">
        <f t="shared" si="8"/>
        <v>dmDefaultSource</v>
      </c>
      <c r="D36" s="1" t="s">
        <v>0</v>
      </c>
      <c r="E36" s="1" t="str">
        <f t="shared" si="9"/>
        <v>Integer</v>
      </c>
      <c r="F36" s="2" t="str">
        <f t="shared" si="10"/>
        <v/>
      </c>
      <c r="G36" s="2" t="str">
        <f t="shared" si="11"/>
        <v/>
      </c>
      <c r="H36" s="2">
        <f t="shared" si="6"/>
        <v>2</v>
      </c>
      <c r="I36" s="2">
        <f t="shared" si="7"/>
        <v>2</v>
      </c>
    </row>
    <row r="37" spans="1:9" x14ac:dyDescent="0.25">
      <c r="A37" s="1"/>
      <c r="B37" s="1" t="s">
        <v>37</v>
      </c>
      <c r="C37" s="1" t="str">
        <f t="shared" si="8"/>
        <v>dmPrintQuality</v>
      </c>
      <c r="D37" s="1" t="s">
        <v>0</v>
      </c>
      <c r="E37" s="1" t="str">
        <f t="shared" si="9"/>
        <v>Integer</v>
      </c>
      <c r="F37" s="2" t="str">
        <f t="shared" si="10"/>
        <v/>
      </c>
      <c r="G37" s="2" t="str">
        <f t="shared" si="11"/>
        <v/>
      </c>
      <c r="H37" s="2">
        <f t="shared" si="6"/>
        <v>2</v>
      </c>
      <c r="I37" s="2">
        <f t="shared" si="7"/>
        <v>2</v>
      </c>
    </row>
    <row r="38" spans="1:9" x14ac:dyDescent="0.25">
      <c r="A38" s="1"/>
      <c r="B38" s="1" t="s">
        <v>38</v>
      </c>
      <c r="C38" s="1" t="str">
        <f t="shared" si="8"/>
        <v>dmColor</v>
      </c>
      <c r="D38" s="1" t="s">
        <v>0</v>
      </c>
      <c r="E38" s="1" t="str">
        <f t="shared" si="9"/>
        <v>Integer</v>
      </c>
      <c r="F38" s="2" t="str">
        <f t="shared" si="10"/>
        <v/>
      </c>
      <c r="G38" s="2" t="str">
        <f t="shared" si="11"/>
        <v/>
      </c>
      <c r="H38" s="2">
        <f t="shared" si="6"/>
        <v>2</v>
      </c>
      <c r="I38" s="2">
        <f t="shared" si="7"/>
        <v>2</v>
      </c>
    </row>
    <row r="39" spans="1:9" x14ac:dyDescent="0.25">
      <c r="A39" s="1"/>
      <c r="B39" s="1" t="s">
        <v>39</v>
      </c>
      <c r="C39" s="1" t="str">
        <f t="shared" si="8"/>
        <v>dmDuplex</v>
      </c>
      <c r="D39" s="1" t="s">
        <v>0</v>
      </c>
      <c r="E39" s="1" t="str">
        <f t="shared" si="9"/>
        <v>Integer</v>
      </c>
      <c r="F39" s="2" t="str">
        <f t="shared" si="10"/>
        <v/>
      </c>
      <c r="G39" s="2" t="str">
        <f t="shared" si="11"/>
        <v/>
      </c>
      <c r="H39" s="2">
        <f t="shared" si="6"/>
        <v>2</v>
      </c>
      <c r="I39" s="2">
        <f t="shared" si="7"/>
        <v>2</v>
      </c>
    </row>
    <row r="40" spans="1:9" x14ac:dyDescent="0.25">
      <c r="A40" s="1"/>
      <c r="B40" s="1" t="s">
        <v>40</v>
      </c>
      <c r="C40" s="1" t="str">
        <f t="shared" si="8"/>
        <v>dmYResolution</v>
      </c>
      <c r="D40" s="1" t="s">
        <v>0</v>
      </c>
      <c r="E40" s="1" t="str">
        <f t="shared" si="9"/>
        <v>Integer</v>
      </c>
      <c r="F40" s="2" t="str">
        <f t="shared" si="10"/>
        <v/>
      </c>
      <c r="G40" s="2" t="str">
        <f t="shared" si="11"/>
        <v/>
      </c>
      <c r="H40" s="2">
        <f t="shared" si="6"/>
        <v>2</v>
      </c>
      <c r="I40" s="2">
        <f t="shared" si="7"/>
        <v>2</v>
      </c>
    </row>
    <row r="41" spans="1:9" x14ac:dyDescent="0.25">
      <c r="A41" s="1"/>
      <c r="B41" s="1" t="s">
        <v>41</v>
      </c>
      <c r="C41" s="1" t="str">
        <f t="shared" si="8"/>
        <v>dmTTOption</v>
      </c>
      <c r="D41" s="1" t="s">
        <v>0</v>
      </c>
      <c r="E41" s="1" t="str">
        <f t="shared" si="9"/>
        <v>Integer</v>
      </c>
      <c r="F41" s="2" t="str">
        <f t="shared" si="10"/>
        <v/>
      </c>
      <c r="G41" s="2" t="str">
        <f t="shared" si="11"/>
        <v/>
      </c>
      <c r="H41" s="2">
        <f t="shared" si="6"/>
        <v>2</v>
      </c>
      <c r="I41" s="2">
        <f t="shared" si="7"/>
        <v>2</v>
      </c>
    </row>
    <row r="42" spans="1:9" x14ac:dyDescent="0.25">
      <c r="A42" s="1"/>
      <c r="B42" s="1" t="s">
        <v>42</v>
      </c>
      <c r="C42" s="1" t="str">
        <f t="shared" si="8"/>
        <v>dmCollate</v>
      </c>
      <c r="D42" s="1" t="s">
        <v>0</v>
      </c>
      <c r="E42" s="1" t="str">
        <f t="shared" si="9"/>
        <v>Integer</v>
      </c>
      <c r="F42" s="2" t="str">
        <f t="shared" si="10"/>
        <v/>
      </c>
      <c r="G42" s="2" t="str">
        <f t="shared" si="11"/>
        <v/>
      </c>
      <c r="H42" s="2">
        <f t="shared" si="6"/>
        <v>2</v>
      </c>
      <c r="I42" s="2">
        <f t="shared" si="7"/>
        <v>2</v>
      </c>
    </row>
    <row r="43" spans="1:9" x14ac:dyDescent="0.25">
      <c r="A43" s="1"/>
      <c r="B43" s="1" t="s">
        <v>43</v>
      </c>
      <c r="C43" s="1" t="str">
        <f t="shared" si="8"/>
        <v>dmFormName</v>
      </c>
      <c r="D43" s="1" t="s">
        <v>0</v>
      </c>
      <c r="E43" s="1" t="str">
        <f t="shared" si="9"/>
        <v>String</v>
      </c>
      <c r="F43" s="2" t="str">
        <f t="shared" si="10"/>
        <v>*</v>
      </c>
      <c r="G43" s="2">
        <f t="shared" si="11"/>
        <v>32</v>
      </c>
      <c r="H43" s="2">
        <f t="shared" si="6"/>
        <v>32</v>
      </c>
      <c r="I43" s="2">
        <f t="shared" si="7"/>
        <v>32</v>
      </c>
    </row>
    <row r="44" spans="1:9" x14ac:dyDescent="0.25">
      <c r="A44" s="1"/>
      <c r="B44" s="1" t="s">
        <v>44</v>
      </c>
      <c r="C44" s="1" t="str">
        <f t="shared" si="8"/>
        <v>dmUnusedPadding</v>
      </c>
      <c r="D44" s="1" t="s">
        <v>0</v>
      </c>
      <c r="E44" s="1" t="str">
        <f t="shared" si="9"/>
        <v>Integer</v>
      </c>
      <c r="F44" s="2" t="str">
        <f t="shared" si="10"/>
        <v/>
      </c>
      <c r="G44" s="2" t="str">
        <f t="shared" si="11"/>
        <v/>
      </c>
      <c r="H44" s="2">
        <f t="shared" si="6"/>
        <v>2</v>
      </c>
      <c r="I44" s="2">
        <f t="shared" si="7"/>
        <v>2</v>
      </c>
    </row>
    <row r="45" spans="1:9" x14ac:dyDescent="0.25">
      <c r="A45" s="1"/>
      <c r="B45" s="1" t="s">
        <v>45</v>
      </c>
      <c r="C45" s="1" t="str">
        <f t="shared" si="8"/>
        <v>dmBitsPerPixel</v>
      </c>
      <c r="D45" s="1" t="s">
        <v>0</v>
      </c>
      <c r="E45" s="1" t="str">
        <f t="shared" si="9"/>
        <v>Integer</v>
      </c>
      <c r="F45" s="2" t="str">
        <f t="shared" si="10"/>
        <v/>
      </c>
      <c r="G45" s="2" t="str">
        <f t="shared" si="11"/>
        <v/>
      </c>
      <c r="H45" s="2">
        <f t="shared" si="6"/>
        <v>2</v>
      </c>
      <c r="I45" s="2">
        <f t="shared" si="7"/>
        <v>2</v>
      </c>
    </row>
    <row r="46" spans="1:9" x14ac:dyDescent="0.25">
      <c r="A46" s="1"/>
      <c r="B46" s="1" t="s">
        <v>46</v>
      </c>
      <c r="C46" s="1" t="str">
        <f t="shared" si="8"/>
        <v>dmPelsWidth</v>
      </c>
      <c r="D46" s="1" t="s">
        <v>0</v>
      </c>
      <c r="E46" s="1" t="s">
        <v>58</v>
      </c>
      <c r="F46" s="2" t="str">
        <f t="shared" si="10"/>
        <v/>
      </c>
      <c r="G46" s="2" t="str">
        <f t="shared" si="11"/>
        <v/>
      </c>
      <c r="H46" s="2">
        <f t="shared" si="6"/>
        <v>4</v>
      </c>
      <c r="I46" s="2">
        <f t="shared" si="7"/>
        <v>4</v>
      </c>
    </row>
    <row r="47" spans="1:9" x14ac:dyDescent="0.25">
      <c r="A47" s="1"/>
      <c r="B47" s="1" t="s">
        <v>47</v>
      </c>
      <c r="C47" s="1" t="str">
        <f t="shared" si="8"/>
        <v>dmPelsHeight</v>
      </c>
      <c r="D47" s="1" t="s">
        <v>0</v>
      </c>
      <c r="E47" s="1" t="str">
        <f t="shared" si="9"/>
        <v>Long</v>
      </c>
      <c r="F47" s="2" t="str">
        <f t="shared" si="10"/>
        <v/>
      </c>
      <c r="G47" s="2" t="str">
        <f t="shared" si="11"/>
        <v/>
      </c>
      <c r="H47" s="2">
        <f t="shared" si="6"/>
        <v>4</v>
      </c>
      <c r="I47" s="2">
        <f t="shared" ref="I47:I57" si="12">IF(E47="Integer",2,IF(E47="Long",4,IF(OR(E47="LongPtr",E47="Object"),IF(I$23="x64",8,4),IF(E47="String", IF(F47="*", G47*IF(E$23="Unicode",2,1), IF(I$23="x64",8,4))))))</f>
        <v>4</v>
      </c>
    </row>
    <row r="48" spans="1:9" x14ac:dyDescent="0.25">
      <c r="A48" s="1"/>
      <c r="B48" s="1" t="s">
        <v>48</v>
      </c>
      <c r="C48" s="1" t="str">
        <f t="shared" si="8"/>
        <v>dmDisplayFlags</v>
      </c>
      <c r="D48" s="1" t="s">
        <v>0</v>
      </c>
      <c r="E48" s="1" t="str">
        <f t="shared" si="9"/>
        <v>Long</v>
      </c>
      <c r="F48" s="2" t="str">
        <f t="shared" si="10"/>
        <v/>
      </c>
      <c r="G48" s="2" t="str">
        <f t="shared" si="11"/>
        <v/>
      </c>
      <c r="H48" s="2">
        <f t="shared" si="6"/>
        <v>4</v>
      </c>
      <c r="I48" s="2">
        <f t="shared" si="12"/>
        <v>4</v>
      </c>
    </row>
    <row r="49" spans="1:9" x14ac:dyDescent="0.25">
      <c r="A49" s="1"/>
      <c r="B49" s="1" t="s">
        <v>57</v>
      </c>
      <c r="C49" s="1" t="str">
        <f t="shared" si="8"/>
        <v>dmDisplayFrequ</v>
      </c>
      <c r="D49" s="1" t="s">
        <v>0</v>
      </c>
      <c r="E49" s="1" t="str">
        <f t="shared" si="9"/>
        <v>Long</v>
      </c>
      <c r="F49" s="2" t="str">
        <f t="shared" si="10"/>
        <v/>
      </c>
      <c r="G49" s="2" t="str">
        <f t="shared" si="11"/>
        <v/>
      </c>
      <c r="H49" s="2">
        <f t="shared" si="6"/>
        <v>4</v>
      </c>
      <c r="I49" s="2">
        <f t="shared" si="12"/>
        <v>4</v>
      </c>
    </row>
    <row r="50" spans="1:9" x14ac:dyDescent="0.25">
      <c r="A50" s="1"/>
      <c r="B50" s="1" t="s">
        <v>49</v>
      </c>
      <c r="C50" s="1" t="str">
        <f t="shared" si="8"/>
        <v>dmICMMethod</v>
      </c>
      <c r="D50" s="1" t="s">
        <v>0</v>
      </c>
      <c r="E50" s="1" t="str">
        <f t="shared" si="9"/>
        <v>Long</v>
      </c>
      <c r="F50" s="2" t="str">
        <f t="shared" si="10"/>
        <v/>
      </c>
      <c r="G50" s="2" t="str">
        <f t="shared" si="11"/>
        <v/>
      </c>
      <c r="H50" s="2">
        <f t="shared" si="6"/>
        <v>4</v>
      </c>
      <c r="I50" s="2">
        <f t="shared" si="12"/>
        <v>4</v>
      </c>
    </row>
    <row r="51" spans="1:9" x14ac:dyDescent="0.25">
      <c r="A51" s="1"/>
      <c r="B51" s="1" t="s">
        <v>50</v>
      </c>
      <c r="C51" s="1" t="str">
        <f t="shared" si="8"/>
        <v>dmICMIntent</v>
      </c>
      <c r="D51" s="1" t="s">
        <v>0</v>
      </c>
      <c r="E51" s="1" t="str">
        <f t="shared" si="9"/>
        <v>Long</v>
      </c>
      <c r="F51" s="2" t="str">
        <f t="shared" si="10"/>
        <v/>
      </c>
      <c r="G51" s="2" t="str">
        <f t="shared" si="11"/>
        <v/>
      </c>
      <c r="H51" s="2">
        <f t="shared" si="6"/>
        <v>4</v>
      </c>
      <c r="I51" s="2">
        <f t="shared" si="12"/>
        <v>4</v>
      </c>
    </row>
    <row r="52" spans="1:9" x14ac:dyDescent="0.25">
      <c r="A52" s="1"/>
      <c r="B52" s="1" t="s">
        <v>51</v>
      </c>
      <c r="C52" s="1" t="str">
        <f t="shared" si="8"/>
        <v>dmMediaType</v>
      </c>
      <c r="D52" s="1" t="s">
        <v>0</v>
      </c>
      <c r="E52" s="1" t="str">
        <f t="shared" si="9"/>
        <v>Long</v>
      </c>
      <c r="F52" s="2" t="str">
        <f t="shared" si="10"/>
        <v/>
      </c>
      <c r="G52" s="2" t="str">
        <f t="shared" si="11"/>
        <v/>
      </c>
      <c r="H52" s="2">
        <f t="shared" si="6"/>
        <v>4</v>
      </c>
      <c r="I52" s="2">
        <f t="shared" si="12"/>
        <v>4</v>
      </c>
    </row>
    <row r="53" spans="1:9" x14ac:dyDescent="0.25">
      <c r="A53" s="1"/>
      <c r="B53" s="1" t="s">
        <v>52</v>
      </c>
      <c r="C53" s="1" t="str">
        <f t="shared" si="8"/>
        <v>dmDitherType</v>
      </c>
      <c r="D53" s="1" t="s">
        <v>0</v>
      </c>
      <c r="E53" s="1" t="str">
        <f t="shared" si="9"/>
        <v>Long</v>
      </c>
      <c r="F53" s="2" t="str">
        <f t="shared" si="10"/>
        <v/>
      </c>
      <c r="G53" s="2" t="str">
        <f t="shared" si="11"/>
        <v/>
      </c>
      <c r="H53" s="2">
        <f t="shared" si="6"/>
        <v>4</v>
      </c>
      <c r="I53" s="2">
        <f t="shared" si="12"/>
        <v>4</v>
      </c>
    </row>
    <row r="54" spans="1:9" x14ac:dyDescent="0.25">
      <c r="A54" s="1"/>
      <c r="B54" s="1" t="s">
        <v>53</v>
      </c>
      <c r="C54" s="1" t="str">
        <f t="shared" si="8"/>
        <v>dmReserved1</v>
      </c>
      <c r="D54" s="1" t="s">
        <v>0</v>
      </c>
      <c r="E54" s="1" t="str">
        <f t="shared" si="9"/>
        <v>Long</v>
      </c>
      <c r="F54" s="2" t="str">
        <f t="shared" si="10"/>
        <v/>
      </c>
      <c r="G54" s="2" t="str">
        <f t="shared" si="11"/>
        <v/>
      </c>
      <c r="H54" s="2">
        <f t="shared" si="6"/>
        <v>4</v>
      </c>
      <c r="I54" s="2">
        <f t="shared" si="12"/>
        <v>4</v>
      </c>
    </row>
    <row r="55" spans="1:9" x14ac:dyDescent="0.25">
      <c r="A55" s="1"/>
      <c r="B55" s="1" t="s">
        <v>54</v>
      </c>
      <c r="C55" s="1" t="str">
        <f t="shared" si="8"/>
        <v>dmReserved2</v>
      </c>
      <c r="D55" s="1" t="s">
        <v>0</v>
      </c>
      <c r="E55" s="1" t="str">
        <f t="shared" si="9"/>
        <v>Long</v>
      </c>
      <c r="F55" s="2" t="str">
        <f t="shared" si="10"/>
        <v/>
      </c>
      <c r="G55" s="2" t="str">
        <f t="shared" si="11"/>
        <v/>
      </c>
      <c r="H55" s="2">
        <f t="shared" si="6"/>
        <v>4</v>
      </c>
      <c r="I55" s="2">
        <f t="shared" si="12"/>
        <v>4</v>
      </c>
    </row>
    <row r="56" spans="1:9" x14ac:dyDescent="0.25">
      <c r="A56" s="1"/>
      <c r="B56" s="1" t="s">
        <v>55</v>
      </c>
      <c r="C56" s="1" t="str">
        <f t="shared" si="8"/>
        <v>dmPanningWidth</v>
      </c>
      <c r="D56" s="1" t="s">
        <v>0</v>
      </c>
      <c r="E56" s="1" t="str">
        <f t="shared" si="9"/>
        <v>Long</v>
      </c>
      <c r="F56" s="2" t="str">
        <f t="shared" si="10"/>
        <v/>
      </c>
      <c r="G56" s="2" t="str">
        <f t="shared" si="11"/>
        <v/>
      </c>
      <c r="H56" s="2">
        <f t="shared" si="6"/>
        <v>4</v>
      </c>
      <c r="I56" s="2">
        <f t="shared" si="12"/>
        <v>4</v>
      </c>
    </row>
    <row r="57" spans="1:9" x14ac:dyDescent="0.25">
      <c r="A57" s="1"/>
      <c r="B57" s="1" t="s">
        <v>56</v>
      </c>
      <c r="C57" s="1" t="str">
        <f t="shared" si="8"/>
        <v>dmPanningHeight</v>
      </c>
      <c r="D57" s="1" t="s">
        <v>0</v>
      </c>
      <c r="E57" s="1" t="str">
        <f t="shared" si="9"/>
        <v>Long</v>
      </c>
      <c r="F57" s="2" t="str">
        <f t="shared" si="10"/>
        <v/>
      </c>
      <c r="G57" s="2" t="str">
        <f t="shared" si="11"/>
        <v/>
      </c>
      <c r="H57" s="2">
        <f t="shared" si="6"/>
        <v>4</v>
      </c>
      <c r="I57" s="2">
        <f t="shared" si="12"/>
        <v>4</v>
      </c>
    </row>
    <row r="58" spans="1:9" x14ac:dyDescent="0.25">
      <c r="A58" s="1"/>
      <c r="B58" s="1"/>
      <c r="C58" s="1"/>
      <c r="D58" s="1"/>
      <c r="E58" s="1"/>
      <c r="F58" s="1"/>
      <c r="G58" s="1"/>
      <c r="H58" s="1">
        <f>SUM(H24:H57)</f>
        <v>154</v>
      </c>
      <c r="I58" s="1">
        <f>SUM(I24:I57)</f>
        <v>154</v>
      </c>
    </row>
    <row r="59" spans="1:9" x14ac:dyDescent="0.25">
      <c r="A59" s="1"/>
      <c r="B59" s="1"/>
      <c r="C59" s="1"/>
      <c r="D59" s="1"/>
      <c r="E59" s="1"/>
      <c r="F59" s="1"/>
      <c r="G59" s="1"/>
      <c r="H59" s="1"/>
      <c r="I59" s="1"/>
    </row>
    <row r="60" spans="1:9" x14ac:dyDescent="0.25">
      <c r="A60" s="1"/>
      <c r="B60" s="1"/>
      <c r="C60" s="1"/>
      <c r="D60" s="1"/>
      <c r="E60" s="1"/>
      <c r="F60" s="1"/>
      <c r="G60" s="1"/>
      <c r="H60" s="1"/>
      <c r="I60" s="1"/>
    </row>
    <row r="61" spans="1:9" x14ac:dyDescent="0.25">
      <c r="A61" s="1"/>
      <c r="B61" s="1"/>
      <c r="C61" s="1"/>
      <c r="D61" s="1"/>
      <c r="E61" s="1"/>
      <c r="F61" s="1"/>
      <c r="G61" s="1"/>
      <c r="H61" s="1"/>
      <c r="I61" s="1"/>
    </row>
  </sheetData>
  <pageMargins left="0.7" right="0.7" top="0.78740157499999996" bottom="0.78740157499999996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1</vt:i4>
      </vt:variant>
    </vt:vector>
  </HeadingPairs>
  <TitlesOfParts>
    <vt:vector size="1" baseType="lpstr">
      <vt:lpstr>Tabelle1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Oliver Meyer</dc:creator>
  <cp:lastModifiedBy>Oliver Meyer</cp:lastModifiedBy>
  <dcterms:created xsi:type="dcterms:W3CDTF">2023-05-13T06:50:08Z</dcterms:created>
  <dcterms:modified xsi:type="dcterms:W3CDTF">2023-05-13T15:05:17Z</dcterms:modified>
</cp:coreProperties>
</file>